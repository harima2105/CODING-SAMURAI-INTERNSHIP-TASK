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 firstSheet="1" activeTab="5"/>
  </bookViews>
  <sheets>
    <sheet name="Monthly Trend" sheetId="2" r:id="rId1"/>
    <sheet name="Sales by Region" sheetId="3" r:id="rId2"/>
    <sheet name="Best and Worst Months for Sales" sheetId="4" r:id="rId3"/>
    <sheet name="Top Products by Sale" sheetId="5" r:id="rId4"/>
    <sheet name="Region-Wise Monthly Sales" sheetId="6" r:id="rId5"/>
    <sheet name="Dataset" sheetId="1" r:id="rId6"/>
  </sheets>
  <calcPr calcId="125725"/>
  <pivotCaches>
    <pivotCache cacheId="3" r:id="rId7"/>
  </pivotCaches>
</workbook>
</file>

<file path=xl/calcChain.xml><?xml version="1.0" encoding="utf-8"?>
<calcChain xmlns="http://schemas.openxmlformats.org/spreadsheetml/2006/main">
  <c r="G3" i="1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2"/>
</calcChain>
</file>

<file path=xl/sharedStrings.xml><?xml version="1.0" encoding="utf-8"?>
<sst xmlns="http://schemas.openxmlformats.org/spreadsheetml/2006/main" count="273" uniqueCount="81">
  <si>
    <t>Date</t>
  </si>
  <si>
    <t>Product</t>
  </si>
  <si>
    <t>Quantity</t>
  </si>
  <si>
    <t>Region</t>
  </si>
  <si>
    <t>Month</t>
  </si>
  <si>
    <t>Price</t>
  </si>
  <si>
    <t>2024-02-09</t>
  </si>
  <si>
    <t>2024-04-11</t>
  </si>
  <si>
    <t>2024-06-15</t>
  </si>
  <si>
    <t>2024-09-30</t>
  </si>
  <si>
    <t>2024-02-21</t>
  </si>
  <si>
    <t>2024-09-12</t>
  </si>
  <si>
    <t>2024-06-03</t>
  </si>
  <si>
    <t>2024-09-17</t>
  </si>
  <si>
    <t>2024-05-15</t>
  </si>
  <si>
    <t>2024-03-30</t>
  </si>
  <si>
    <t>2024-05-17</t>
  </si>
  <si>
    <t>2024-07-15</t>
  </si>
  <si>
    <t>2024-09-11</t>
  </si>
  <si>
    <t>2024-04-24</t>
  </si>
  <si>
    <t>2024-01-27</t>
  </si>
  <si>
    <t>2024-01-12</t>
  </si>
  <si>
    <t>2024-01-06</t>
  </si>
  <si>
    <t>2024-01-09</t>
  </si>
  <si>
    <t>2024-02-06</t>
  </si>
  <si>
    <t>2024-04-17</t>
  </si>
  <si>
    <t>2024-09-21</t>
  </si>
  <si>
    <t>2024-06-18</t>
  </si>
  <si>
    <t>2024-10-07</t>
  </si>
  <si>
    <t>2024-06-30</t>
  </si>
  <si>
    <t>2024-04-02</t>
  </si>
  <si>
    <t>2024-09-08</t>
  </si>
  <si>
    <t>2024-04-05</t>
  </si>
  <si>
    <t>2024-05-09</t>
  </si>
  <si>
    <t>2024-04-09</t>
  </si>
  <si>
    <t>2024-10-06</t>
  </si>
  <si>
    <t>2024-04-22</t>
  </si>
  <si>
    <t>2024-05-10</t>
  </si>
  <si>
    <t>2024-05-22</t>
  </si>
  <si>
    <t>2024-09-02</t>
  </si>
  <si>
    <t>2024-02-17</t>
  </si>
  <si>
    <t>2024-01-23</t>
  </si>
  <si>
    <t>2024-05-18</t>
  </si>
  <si>
    <t>2024-02-26</t>
  </si>
  <si>
    <t>2024-04-30</t>
  </si>
  <si>
    <t>2024-03-29</t>
  </si>
  <si>
    <t>2024-10-03</t>
  </si>
  <si>
    <t>2024-07-17</t>
  </si>
  <si>
    <t>2024-04-03</t>
  </si>
  <si>
    <t>2024-10-21</t>
  </si>
  <si>
    <t>2024-07-23</t>
  </si>
  <si>
    <t>2024-06-22</t>
  </si>
  <si>
    <t>2024-07-20</t>
  </si>
  <si>
    <t>2024-09-22</t>
  </si>
  <si>
    <t>Bags</t>
  </si>
  <si>
    <t>T-Shirts</t>
  </si>
  <si>
    <t>Shoes</t>
  </si>
  <si>
    <t>Hats</t>
  </si>
  <si>
    <t>Jeans</t>
  </si>
  <si>
    <t>Socks</t>
  </si>
  <si>
    <t>Jackets</t>
  </si>
  <si>
    <t>Belts</t>
  </si>
  <si>
    <t>East</t>
  </si>
  <si>
    <t>North</t>
  </si>
  <si>
    <t>West</t>
  </si>
  <si>
    <t>South</t>
  </si>
  <si>
    <t>February</t>
  </si>
  <si>
    <t>April</t>
  </si>
  <si>
    <t>June</t>
  </si>
  <si>
    <t>September</t>
  </si>
  <si>
    <t>May</t>
  </si>
  <si>
    <t>March</t>
  </si>
  <si>
    <t>July</t>
  </si>
  <si>
    <t>January</t>
  </si>
  <si>
    <t>October</t>
  </si>
  <si>
    <t>Total Sales</t>
  </si>
  <si>
    <t>Row Labels</t>
  </si>
  <si>
    <t>(blank)</t>
  </si>
  <si>
    <t>Grand Total</t>
  </si>
  <si>
    <t>Sum of Total Sales</t>
  </si>
  <si>
    <t>Column Labels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</si>
</sst>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[Sales_Dataset.xlsx]Monthly Trend!PivotTable1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Sales Trend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b"/>
          <c:showVal val="1"/>
        </c:dLbl>
      </c:pivotFmt>
    </c:pivotFmts>
    <c:plotArea>
      <c:layout/>
      <c:lineChart>
        <c:grouping val="stacked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b"/>
            <c:showVal val="1"/>
          </c:dLbls>
          <c:cat>
            <c:strRef>
              <c:f>'Monthly Trend'!$A$4:$A$14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September</c:v>
                </c:pt>
                <c:pt idx="8">
                  <c:v>October</c:v>
                </c:pt>
                <c:pt idx="9">
                  <c:v>(blank)</c:v>
                </c:pt>
              </c:strCache>
            </c:strRef>
          </c:cat>
          <c:val>
            <c:numRef>
              <c:f>'Monthly Trend'!$B$4:$B$14</c:f>
              <c:numCache>
                <c:formatCode>General</c:formatCode>
                <c:ptCount val="10"/>
                <c:pt idx="0">
                  <c:v>88631</c:v>
                </c:pt>
                <c:pt idx="1">
                  <c:v>59972</c:v>
                </c:pt>
                <c:pt idx="2">
                  <c:v>19926</c:v>
                </c:pt>
                <c:pt idx="3">
                  <c:v>142056</c:v>
                </c:pt>
                <c:pt idx="4">
                  <c:v>37115</c:v>
                </c:pt>
                <c:pt idx="5">
                  <c:v>74054</c:v>
                </c:pt>
                <c:pt idx="6">
                  <c:v>65929</c:v>
                </c:pt>
                <c:pt idx="7">
                  <c:v>126065</c:v>
                </c:pt>
                <c:pt idx="8">
                  <c:v>45684</c:v>
                </c:pt>
              </c:numCache>
            </c:numRef>
          </c:val>
        </c:ser>
        <c:dLbls>
          <c:showVal val="1"/>
        </c:dLbls>
        <c:marker val="1"/>
        <c:axId val="76193792"/>
        <c:axId val="76195712"/>
      </c:lineChart>
      <c:catAx>
        <c:axId val="76193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>
                    <a:latin typeface="Times New Roman" pitchFamily="18" charset="0"/>
                    <a:cs typeface="Times New Roman" pitchFamily="18" charset="0"/>
                  </a:rPr>
                  <a:t>Month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3462657235101471"/>
              <c:y val="0.85543275629928306"/>
            </c:manualLayout>
          </c:layout>
        </c:title>
        <c:tickLblPos val="nextTo"/>
        <c:crossAx val="76195712"/>
        <c:crosses val="autoZero"/>
        <c:auto val="1"/>
        <c:lblAlgn val="ctr"/>
        <c:lblOffset val="100"/>
      </c:catAx>
      <c:valAx>
        <c:axId val="7619571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>
                    <a:latin typeface="Times New Roman" pitchFamily="18" charset="0"/>
                    <a:cs typeface="Times New Roman" pitchFamily="18" charset="0"/>
                  </a:rPr>
                  <a:t>Total Sales</a:t>
                </a:r>
              </a:p>
            </c:rich>
          </c:tx>
          <c:layout>
            <c:manualLayout>
              <c:xMode val="edge"/>
              <c:yMode val="edge"/>
              <c:x val="1.4036427632339046E-2"/>
              <c:y val="0.33978792095420457"/>
            </c:manualLayout>
          </c:layout>
        </c:title>
        <c:numFmt formatCode="General" sourceLinked="1"/>
        <c:tickLblPos val="nextTo"/>
        <c:crossAx val="76193792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[Sales_Dataset.xlsx]Sales by Region!PivotTable2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Sales by Region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Region'!$A$4:$A$9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'Sales by Region'!$B$4:$B$9</c:f>
              <c:numCache>
                <c:formatCode>General</c:formatCode>
                <c:ptCount val="5"/>
                <c:pt idx="0">
                  <c:v>78745</c:v>
                </c:pt>
                <c:pt idx="1">
                  <c:v>147227</c:v>
                </c:pt>
                <c:pt idx="2">
                  <c:v>179503</c:v>
                </c:pt>
                <c:pt idx="3">
                  <c:v>253957</c:v>
                </c:pt>
              </c:numCache>
            </c:numRef>
          </c:val>
        </c:ser>
        <c:axId val="76219136"/>
        <c:axId val="76221056"/>
      </c:barChart>
      <c:catAx>
        <c:axId val="76219136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>
                    <a:latin typeface="Times New Roman" pitchFamily="18" charset="0"/>
                    <a:cs typeface="Times New Roman" pitchFamily="18" charset="0"/>
                  </a:rPr>
                  <a:t>Regions</a:t>
                </a:r>
              </a:p>
            </c:rich>
          </c:tx>
          <c:layout>
            <c:manualLayout>
              <c:xMode val="edge"/>
              <c:yMode val="edge"/>
              <c:x val="1.5436563018856916E-2"/>
              <c:y val="0.40611528622213361"/>
            </c:manualLayout>
          </c:layout>
        </c:title>
        <c:tickLblPos val="nextTo"/>
        <c:crossAx val="76221056"/>
        <c:crosses val="autoZero"/>
        <c:auto val="1"/>
        <c:lblAlgn val="ctr"/>
        <c:lblOffset val="100"/>
      </c:catAx>
      <c:valAx>
        <c:axId val="76221056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>
                    <a:latin typeface="Times New Roman" pitchFamily="18" charset="0"/>
                    <a:cs typeface="Times New Roman" pitchFamily="18" charset="0"/>
                  </a:rPr>
                  <a:t>Total Sales</a:t>
                </a:r>
              </a:p>
            </c:rich>
          </c:tx>
          <c:layout>
            <c:manualLayout>
              <c:xMode val="edge"/>
              <c:yMode val="edge"/>
              <c:x val="0.42027417159402347"/>
              <c:y val="0.91412621929721471"/>
            </c:manualLayout>
          </c:layout>
        </c:title>
        <c:numFmt formatCode="General" sourceLinked="1"/>
        <c:tickLblPos val="nextTo"/>
        <c:crossAx val="76219136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[Sales_Dataset.xlsx]Best and Worst Months for Sales!PivotTable3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Best and Worst Months for Sales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spPr>
          <a:solidFill>
            <a:srgbClr val="00B050"/>
          </a:solidFill>
        </c:spPr>
      </c:pivotFmt>
      <c:pivotFmt>
        <c:idx val="2"/>
        <c:spPr>
          <a:solidFill>
            <a:srgbClr val="FF0000"/>
          </a:solidFill>
        </c:spP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'Best and Worst Months for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2"/>
            <c:invertIfNegative val="1"/>
            <c:spPr>
              <a:solidFill>
                <a:srgbClr val="FF0000"/>
              </a:solidFill>
            </c:spPr>
          </c:dPt>
          <c:dPt>
            <c:idx val="3"/>
            <c:invertIfNegative val="1"/>
            <c:spPr>
              <a:solidFill>
                <a:srgbClr val="00B050"/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'Best and Worst Months for Sales'!$A$4:$A$14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September</c:v>
                </c:pt>
                <c:pt idx="8">
                  <c:v>October</c:v>
                </c:pt>
                <c:pt idx="9">
                  <c:v>(blank)</c:v>
                </c:pt>
              </c:strCache>
            </c:strRef>
          </c:cat>
          <c:val>
            <c:numRef>
              <c:f>'Best and Worst Months for Sales'!$B$4:$B$14</c:f>
              <c:numCache>
                <c:formatCode>General</c:formatCode>
                <c:ptCount val="10"/>
                <c:pt idx="0">
                  <c:v>88631</c:v>
                </c:pt>
                <c:pt idx="1">
                  <c:v>59972</c:v>
                </c:pt>
                <c:pt idx="2">
                  <c:v>19926</c:v>
                </c:pt>
                <c:pt idx="3">
                  <c:v>142056</c:v>
                </c:pt>
                <c:pt idx="4">
                  <c:v>37115</c:v>
                </c:pt>
                <c:pt idx="5">
                  <c:v>74054</c:v>
                </c:pt>
                <c:pt idx="6">
                  <c:v>65929</c:v>
                </c:pt>
                <c:pt idx="7">
                  <c:v>126065</c:v>
                </c:pt>
                <c:pt idx="8">
                  <c:v>45684</c:v>
                </c:pt>
              </c:numCache>
            </c:numRef>
          </c:val>
        </c:ser>
        <c:axId val="76312960"/>
        <c:axId val="76314880"/>
      </c:barChart>
      <c:catAx>
        <c:axId val="76312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>
                    <a:latin typeface="Times New Roman" pitchFamily="18" charset="0"/>
                    <a:cs typeface="Times New Roman" pitchFamily="18" charset="0"/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5476345351174396"/>
              <c:y val="0.91341851397862883"/>
            </c:manualLayout>
          </c:layout>
        </c:title>
        <c:tickLblPos val="nextTo"/>
        <c:crossAx val="76314880"/>
        <c:crosses val="autoZero"/>
        <c:auto val="1"/>
        <c:lblAlgn val="ctr"/>
        <c:lblOffset val="100"/>
      </c:catAx>
      <c:valAx>
        <c:axId val="7631488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>
                    <a:latin typeface="Times New Roman" pitchFamily="18" charset="0"/>
                    <a:cs typeface="Times New Roman" pitchFamily="18" charset="0"/>
                  </a:rPr>
                  <a:t>Total Sales</a:t>
                </a:r>
              </a:p>
            </c:rich>
          </c:tx>
          <c:layout>
            <c:manualLayout>
              <c:xMode val="edge"/>
              <c:yMode val="edge"/>
              <c:x val="1.4339778208352229E-2"/>
              <c:y val="0.36475903572739421"/>
            </c:manualLayout>
          </c:layout>
        </c:title>
        <c:numFmt formatCode="General" sourceLinked="1"/>
        <c:tickLblPos val="nextTo"/>
        <c:crossAx val="76312960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[Sales_Dataset.xlsx]Top Products by Sale!PivotTable1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Top Products by Sale</a:t>
            </a:r>
            <a:endParaRPr lang="en-US"/>
          </a:p>
        </c:rich>
      </c:tx>
      <c:layout>
        <c:manualLayout>
          <c:xMode val="edge"/>
          <c:yMode val="edge"/>
          <c:x val="0.32064684348666944"/>
          <c:y val="2.8070167683335354E-2"/>
        </c:manualLayout>
      </c:layout>
    </c:title>
    <c:pivotFmts>
      <c:pivotFmt>
        <c:idx val="0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'Top Products by Sale'!$B$3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'Top Products by Sale'!$A$4:$A$13</c:f>
              <c:strCache>
                <c:ptCount val="9"/>
                <c:pt idx="0">
                  <c:v>(blank)</c:v>
                </c:pt>
                <c:pt idx="1">
                  <c:v>Belts</c:v>
                </c:pt>
                <c:pt idx="2">
                  <c:v>T-Shirts</c:v>
                </c:pt>
                <c:pt idx="3">
                  <c:v>Jackets</c:v>
                </c:pt>
                <c:pt idx="4">
                  <c:v>Shoes</c:v>
                </c:pt>
                <c:pt idx="5">
                  <c:v>Socks</c:v>
                </c:pt>
                <c:pt idx="6">
                  <c:v>Hats</c:v>
                </c:pt>
                <c:pt idx="7">
                  <c:v>Jeans</c:v>
                </c:pt>
                <c:pt idx="8">
                  <c:v>Bags</c:v>
                </c:pt>
              </c:strCache>
            </c:strRef>
          </c:cat>
          <c:val>
            <c:numRef>
              <c:f>'Top Products by Sale'!$B$4:$B$13</c:f>
              <c:numCache>
                <c:formatCode>General</c:formatCode>
                <c:ptCount val="9"/>
                <c:pt idx="1">
                  <c:v>12604</c:v>
                </c:pt>
                <c:pt idx="2">
                  <c:v>40077</c:v>
                </c:pt>
                <c:pt idx="3">
                  <c:v>62225</c:v>
                </c:pt>
                <c:pt idx="4">
                  <c:v>80794</c:v>
                </c:pt>
                <c:pt idx="5">
                  <c:v>86798</c:v>
                </c:pt>
                <c:pt idx="6">
                  <c:v>87750</c:v>
                </c:pt>
                <c:pt idx="7">
                  <c:v>136219</c:v>
                </c:pt>
                <c:pt idx="8">
                  <c:v>152965</c:v>
                </c:pt>
              </c:numCache>
            </c:numRef>
          </c:val>
        </c:ser>
        <c:shape val="cylinder"/>
        <c:axId val="123575680"/>
        <c:axId val="109101056"/>
        <c:axId val="0"/>
      </c:bar3DChart>
      <c:catAx>
        <c:axId val="123575680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>
                    <a:latin typeface="Times New Roman" pitchFamily="18" charset="0"/>
                    <a:cs typeface="Times New Roman" pitchFamily="18" charset="0"/>
                  </a:rPr>
                  <a:t>Products</a:t>
                </a:r>
              </a:p>
            </c:rich>
          </c:tx>
          <c:layout>
            <c:manualLayout>
              <c:xMode val="edge"/>
              <c:yMode val="edge"/>
              <c:x val="1.7894516613268078E-2"/>
              <c:y val="0.40296300512142419"/>
            </c:manualLayout>
          </c:layout>
        </c:title>
        <c:tickLblPos val="nextTo"/>
        <c:crossAx val="109101056"/>
        <c:crosses val="autoZero"/>
        <c:auto val="1"/>
        <c:lblAlgn val="ctr"/>
        <c:lblOffset val="100"/>
      </c:catAx>
      <c:valAx>
        <c:axId val="109101056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>
                    <a:latin typeface="Times New Roman" pitchFamily="18" charset="0"/>
                    <a:cs typeface="Times New Roman" pitchFamily="18" charset="0"/>
                  </a:rPr>
                  <a:t>Total Sales</a:t>
                </a:r>
              </a:p>
            </c:rich>
          </c:tx>
          <c:layout>
            <c:manualLayout>
              <c:xMode val="edge"/>
              <c:yMode val="edge"/>
              <c:x val="0.44500146663965851"/>
              <c:y val="0.90978590695236716"/>
            </c:manualLayout>
          </c:layout>
        </c:title>
        <c:numFmt formatCode="General" sourceLinked="1"/>
        <c:tickLblPos val="nextTo"/>
        <c:crossAx val="12357568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333373</xdr:colOff>
      <xdr:row>2</xdr:row>
      <xdr:rowOff>123825</xdr:rowOff>
    </xdr:from>
    <xdr:to>
      <xdr:col>13</xdr:col>
      <xdr:colOff>466725</xdr:colOff>
      <xdr:row>22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76198</xdr:colOff>
      <xdr:row>2</xdr:row>
      <xdr:rowOff>114300</xdr:rowOff>
    </xdr:from>
    <xdr:to>
      <xdr:col>13</xdr:col>
      <xdr:colOff>266699</xdr:colOff>
      <xdr:row>22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314324</xdr:colOff>
      <xdr:row>3</xdr:row>
      <xdr:rowOff>38100</xdr:rowOff>
    </xdr:from>
    <xdr:to>
      <xdr:col>14</xdr:col>
      <xdr:colOff>371475</xdr:colOff>
      <xdr:row>22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95249</xdr:rowOff>
    </xdr:from>
    <xdr:to>
      <xdr:col>13</xdr:col>
      <xdr:colOff>514349</xdr:colOff>
      <xdr:row>22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1234" refreshedDate="45971.906330555554" createdVersion="3" refreshedVersion="3" minRefreshableVersion="3" recordCount="51">
  <cacheSource type="worksheet">
    <worksheetSource ref="A1:G1048576" sheet="Dataset"/>
  </cacheSource>
  <cacheFields count="7">
    <cacheField name="Date" numFmtId="0">
      <sharedItems containsBlank="1"/>
    </cacheField>
    <cacheField name="Product" numFmtId="0">
      <sharedItems containsBlank="1" count="9">
        <s v="Bags"/>
        <s v="T-Shirts"/>
        <s v="Shoes"/>
        <s v="Hats"/>
        <s v="Jeans"/>
        <s v="Socks"/>
        <s v="Jackets"/>
        <s v="Belts"/>
        <m/>
      </sharedItems>
    </cacheField>
    <cacheField name="Quantity" numFmtId="0">
      <sharedItems containsString="0" containsBlank="1" containsNumber="1" containsInteger="1" minValue="1" maxValue="20"/>
    </cacheField>
    <cacheField name="Region" numFmtId="0">
      <sharedItems containsBlank="1" count="5">
        <s v="East"/>
        <s v="North"/>
        <s v="West"/>
        <s v="South"/>
        <m/>
      </sharedItems>
    </cacheField>
    <cacheField name="Month" numFmtId="0">
      <sharedItems containsBlank="1" count="10">
        <s v="February"/>
        <s v="April"/>
        <s v="June"/>
        <s v="September"/>
        <s v="May"/>
        <s v="March"/>
        <s v="July"/>
        <s v="January"/>
        <s v="October"/>
        <m/>
      </sharedItems>
    </cacheField>
    <cacheField name="Price" numFmtId="0">
      <sharedItems containsString="0" containsBlank="1" containsNumber="1" containsInteger="1" minValue="260" maxValue="2000"/>
    </cacheField>
    <cacheField name="Total Sales" numFmtId="0">
      <sharedItems containsString="0" containsBlank="1" containsNumber="1" containsInteger="1" minValue="481" maxValue="37200" count="51">
        <n v="37200"/>
        <n v="34020"/>
        <n v="5274"/>
        <n v="4420"/>
        <n v="11914"/>
        <n v="7884"/>
        <n v="23280"/>
        <n v="9262"/>
        <n v="19960"/>
        <n v="23740"/>
        <n v="9557"/>
        <n v="9585"/>
        <n v="4836"/>
        <n v="12467"/>
        <n v="481"/>
        <n v="10710"/>
        <n v="2856"/>
        <n v="27692"/>
        <n v="22596"/>
        <n v="5487"/>
        <n v="954"/>
        <n v="5555"/>
        <n v="19133"/>
        <n v="3008"/>
        <n v="20356"/>
        <n v="3326"/>
        <n v="3488"/>
        <n v="29790"/>
        <n v="3328"/>
        <n v="3066"/>
        <n v="34789"/>
        <n v="19107"/>
        <n v="8762"/>
        <n v="1698"/>
        <n v="1362"/>
        <n v="14652"/>
        <n v="2914"/>
        <n v="30000"/>
        <n v="16596"/>
        <n v="6990"/>
        <n v="4688"/>
        <n v="10341"/>
        <n v="1862"/>
        <n v="24290"/>
        <n v="27454"/>
        <n v="4359"/>
        <n v="2516"/>
        <n v="15426"/>
        <n v="26656"/>
        <n v="2974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s v="2024-02-09"/>
    <x v="0"/>
    <n v="20"/>
    <x v="0"/>
    <x v="0"/>
    <n v="1860"/>
    <x v="0"/>
  </r>
  <r>
    <s v="2024-04-11"/>
    <x v="1"/>
    <n v="18"/>
    <x v="1"/>
    <x v="1"/>
    <n v="1890"/>
    <x v="1"/>
  </r>
  <r>
    <s v="2024-06-15"/>
    <x v="2"/>
    <n v="18"/>
    <x v="2"/>
    <x v="2"/>
    <n v="293"/>
    <x v="2"/>
  </r>
  <r>
    <s v="2024-09-30"/>
    <x v="3"/>
    <n v="17"/>
    <x v="1"/>
    <x v="3"/>
    <n v="260"/>
    <x v="3"/>
  </r>
  <r>
    <s v="2024-02-21"/>
    <x v="2"/>
    <n v="7"/>
    <x v="3"/>
    <x v="0"/>
    <n v="1702"/>
    <x v="4"/>
  </r>
  <r>
    <s v="2024-09-12"/>
    <x v="2"/>
    <n v="6"/>
    <x v="2"/>
    <x v="3"/>
    <n v="1314"/>
    <x v="5"/>
  </r>
  <r>
    <s v="2024-06-03"/>
    <x v="3"/>
    <n v="16"/>
    <x v="2"/>
    <x v="2"/>
    <n v="1455"/>
    <x v="6"/>
  </r>
  <r>
    <s v="2024-04-11"/>
    <x v="4"/>
    <n v="11"/>
    <x v="2"/>
    <x v="1"/>
    <n v="842"/>
    <x v="7"/>
  </r>
  <r>
    <s v="2024-09-17"/>
    <x v="0"/>
    <n v="10"/>
    <x v="3"/>
    <x v="3"/>
    <n v="1996"/>
    <x v="8"/>
  </r>
  <r>
    <s v="2024-06-03"/>
    <x v="3"/>
    <n v="20"/>
    <x v="2"/>
    <x v="2"/>
    <n v="1187"/>
    <x v="9"/>
  </r>
  <r>
    <s v="2024-05-15"/>
    <x v="3"/>
    <n v="19"/>
    <x v="3"/>
    <x v="4"/>
    <n v="503"/>
    <x v="10"/>
  </r>
  <r>
    <s v="2024-03-30"/>
    <x v="3"/>
    <n v="9"/>
    <x v="0"/>
    <x v="5"/>
    <n v="1065"/>
    <x v="11"/>
  </r>
  <r>
    <s v="2024-05-17"/>
    <x v="0"/>
    <n v="4"/>
    <x v="1"/>
    <x v="4"/>
    <n v="1209"/>
    <x v="12"/>
  </r>
  <r>
    <s v="2024-07-15"/>
    <x v="5"/>
    <n v="13"/>
    <x v="3"/>
    <x v="6"/>
    <n v="959"/>
    <x v="13"/>
  </r>
  <r>
    <s v="2024-09-11"/>
    <x v="0"/>
    <n v="1"/>
    <x v="2"/>
    <x v="3"/>
    <n v="481"/>
    <x v="14"/>
  </r>
  <r>
    <s v="2024-04-24"/>
    <x v="2"/>
    <n v="17"/>
    <x v="2"/>
    <x v="1"/>
    <n v="630"/>
    <x v="15"/>
  </r>
  <r>
    <s v="2024-01-27"/>
    <x v="4"/>
    <n v="2"/>
    <x v="1"/>
    <x v="7"/>
    <n v="1428"/>
    <x v="16"/>
  </r>
  <r>
    <s v="2024-01-12"/>
    <x v="4"/>
    <n v="14"/>
    <x v="3"/>
    <x v="7"/>
    <n v="1978"/>
    <x v="17"/>
  </r>
  <r>
    <s v="2024-01-06"/>
    <x v="2"/>
    <n v="12"/>
    <x v="3"/>
    <x v="7"/>
    <n v="1883"/>
    <x v="18"/>
  </r>
  <r>
    <s v="2024-01-09"/>
    <x v="6"/>
    <n v="3"/>
    <x v="3"/>
    <x v="7"/>
    <n v="1829"/>
    <x v="19"/>
  </r>
  <r>
    <s v="2024-02-06"/>
    <x v="6"/>
    <n v="3"/>
    <x v="3"/>
    <x v="0"/>
    <n v="318"/>
    <x v="20"/>
  </r>
  <r>
    <s v="2024-04-17"/>
    <x v="5"/>
    <n v="11"/>
    <x v="3"/>
    <x v="1"/>
    <n v="505"/>
    <x v="21"/>
  </r>
  <r>
    <s v="2024-09-21"/>
    <x v="6"/>
    <n v="19"/>
    <x v="1"/>
    <x v="3"/>
    <n v="1007"/>
    <x v="22"/>
  </r>
  <r>
    <s v="2024-06-18"/>
    <x v="4"/>
    <n v="8"/>
    <x v="0"/>
    <x v="2"/>
    <n v="376"/>
    <x v="23"/>
  </r>
  <r>
    <s v="2024-10-07"/>
    <x v="4"/>
    <n v="14"/>
    <x v="1"/>
    <x v="8"/>
    <n v="1454"/>
    <x v="24"/>
  </r>
  <r>
    <s v="2024-06-30"/>
    <x v="0"/>
    <n v="2"/>
    <x v="2"/>
    <x v="2"/>
    <n v="1663"/>
    <x v="25"/>
  </r>
  <r>
    <s v="2024-04-02"/>
    <x v="7"/>
    <n v="2"/>
    <x v="1"/>
    <x v="1"/>
    <n v="1744"/>
    <x v="26"/>
  </r>
  <r>
    <s v="2024-09-08"/>
    <x v="4"/>
    <n v="15"/>
    <x v="2"/>
    <x v="3"/>
    <n v="1986"/>
    <x v="27"/>
  </r>
  <r>
    <s v="2024-04-05"/>
    <x v="5"/>
    <n v="8"/>
    <x v="3"/>
    <x v="1"/>
    <n v="416"/>
    <x v="28"/>
  </r>
  <r>
    <s v="2024-05-09"/>
    <x v="7"/>
    <n v="6"/>
    <x v="0"/>
    <x v="4"/>
    <n v="511"/>
    <x v="29"/>
  </r>
  <r>
    <s v="2024-04-09"/>
    <x v="6"/>
    <n v="19"/>
    <x v="1"/>
    <x v="1"/>
    <n v="1831"/>
    <x v="30"/>
  </r>
  <r>
    <s v="2024-10-06"/>
    <x v="5"/>
    <n v="11"/>
    <x v="3"/>
    <x v="8"/>
    <n v="1737"/>
    <x v="31"/>
  </r>
  <r>
    <s v="2024-04-22"/>
    <x v="0"/>
    <n v="13"/>
    <x v="0"/>
    <x v="1"/>
    <n v="674"/>
    <x v="32"/>
  </r>
  <r>
    <s v="2024-05-10"/>
    <x v="1"/>
    <n v="3"/>
    <x v="0"/>
    <x v="4"/>
    <n v="566"/>
    <x v="33"/>
  </r>
  <r>
    <s v="2024-05-22"/>
    <x v="7"/>
    <n v="2"/>
    <x v="2"/>
    <x v="4"/>
    <n v="681"/>
    <x v="34"/>
  </r>
  <r>
    <s v="2024-09-02"/>
    <x v="3"/>
    <n v="9"/>
    <x v="2"/>
    <x v="3"/>
    <n v="1628"/>
    <x v="35"/>
  </r>
  <r>
    <s v="2024-02-17"/>
    <x v="4"/>
    <n v="2"/>
    <x v="1"/>
    <x v="0"/>
    <n v="1457"/>
    <x v="36"/>
  </r>
  <r>
    <s v="2024-01-23"/>
    <x v="4"/>
    <n v="15"/>
    <x v="2"/>
    <x v="7"/>
    <n v="2000"/>
    <x v="37"/>
  </r>
  <r>
    <s v="2024-05-18"/>
    <x v="5"/>
    <n v="12"/>
    <x v="3"/>
    <x v="4"/>
    <n v="1383"/>
    <x v="38"/>
  </r>
  <r>
    <s v="2024-02-26"/>
    <x v="2"/>
    <n v="6"/>
    <x v="1"/>
    <x v="0"/>
    <n v="1165"/>
    <x v="39"/>
  </r>
  <r>
    <s v="2024-04-30"/>
    <x v="7"/>
    <n v="16"/>
    <x v="1"/>
    <x v="1"/>
    <n v="293"/>
    <x v="40"/>
  </r>
  <r>
    <s v="2024-03-29"/>
    <x v="4"/>
    <n v="9"/>
    <x v="2"/>
    <x v="5"/>
    <n v="1149"/>
    <x v="41"/>
  </r>
  <r>
    <s v="2024-10-03"/>
    <x v="6"/>
    <n v="2"/>
    <x v="1"/>
    <x v="8"/>
    <n v="931"/>
    <x v="42"/>
  </r>
  <r>
    <s v="2024-07-17"/>
    <x v="0"/>
    <n v="14"/>
    <x v="3"/>
    <x v="6"/>
    <n v="1735"/>
    <x v="43"/>
  </r>
  <r>
    <s v="2024-04-03"/>
    <x v="0"/>
    <n v="14"/>
    <x v="2"/>
    <x v="1"/>
    <n v="1961"/>
    <x v="44"/>
  </r>
  <r>
    <s v="2024-10-21"/>
    <x v="1"/>
    <n v="3"/>
    <x v="1"/>
    <x v="8"/>
    <n v="1453"/>
    <x v="45"/>
  </r>
  <r>
    <s v="2024-07-23"/>
    <x v="3"/>
    <n v="2"/>
    <x v="1"/>
    <x v="6"/>
    <n v="1258"/>
    <x v="46"/>
  </r>
  <r>
    <s v="2024-06-22"/>
    <x v="2"/>
    <n v="18"/>
    <x v="0"/>
    <x v="2"/>
    <n v="857"/>
    <x v="47"/>
  </r>
  <r>
    <s v="2024-07-20"/>
    <x v="0"/>
    <n v="14"/>
    <x v="2"/>
    <x v="6"/>
    <n v="1904"/>
    <x v="48"/>
  </r>
  <r>
    <s v="2024-09-22"/>
    <x v="5"/>
    <n v="15"/>
    <x v="2"/>
    <x v="3"/>
    <n v="1983"/>
    <x v="49"/>
  </r>
  <r>
    <m/>
    <x v="8"/>
    <m/>
    <x v="4"/>
    <x v="9"/>
    <m/>
    <x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B14" firstHeaderRow="1" firstDataRow="1" firstDataCol="1"/>
  <pivotFields count="7">
    <pivotField showAll="0"/>
    <pivotField showAll="0"/>
    <pivotField showAll="0"/>
    <pivotField showAll="0"/>
    <pivotField axis="axisRow" showAll="0">
      <items count="11">
        <item x="7"/>
        <item x="0"/>
        <item x="5"/>
        <item x="1"/>
        <item x="4"/>
        <item x="2"/>
        <item x="6"/>
        <item x="3"/>
        <item x="8"/>
        <item x="9"/>
        <item t="default"/>
      </items>
    </pivotField>
    <pivotField showAll="0"/>
    <pivotField dataField="1" showAll="0">
      <items count="52">
        <item x="14"/>
        <item x="20"/>
        <item x="34"/>
        <item x="33"/>
        <item x="42"/>
        <item x="46"/>
        <item x="16"/>
        <item x="36"/>
        <item x="23"/>
        <item x="29"/>
        <item x="25"/>
        <item x="28"/>
        <item x="26"/>
        <item x="45"/>
        <item x="3"/>
        <item x="40"/>
        <item x="12"/>
        <item x="2"/>
        <item x="19"/>
        <item x="21"/>
        <item x="39"/>
        <item x="5"/>
        <item x="32"/>
        <item x="7"/>
        <item x="10"/>
        <item x="11"/>
        <item x="41"/>
        <item x="15"/>
        <item x="4"/>
        <item x="13"/>
        <item x="35"/>
        <item x="47"/>
        <item x="38"/>
        <item x="31"/>
        <item x="22"/>
        <item x="8"/>
        <item x="24"/>
        <item x="18"/>
        <item x="6"/>
        <item x="9"/>
        <item x="43"/>
        <item x="48"/>
        <item x="44"/>
        <item x="17"/>
        <item x="49"/>
        <item x="27"/>
        <item x="37"/>
        <item x="1"/>
        <item x="30"/>
        <item x="0"/>
        <item x="50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9" firstHeaderRow="1" firstDataRow="1" firstDataCol="1"/>
  <pivotFields count="7"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14" firstHeaderRow="1" firstDataRow="1" firstDataCol="1"/>
  <pivotFields count="7">
    <pivotField showAll="0"/>
    <pivotField showAll="0"/>
    <pivotField showAll="0"/>
    <pivotField showAll="0"/>
    <pivotField axis="axisRow" showAll="0">
      <items count="11">
        <item x="7"/>
        <item x="0"/>
        <item x="5"/>
        <item x="1"/>
        <item x="4"/>
        <item x="2"/>
        <item x="6"/>
        <item x="3"/>
        <item x="8"/>
        <item x="9"/>
        <item t="default"/>
      </items>
    </pivotField>
    <pivotField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13" firstHeaderRow="1" firstDataRow="1" firstDataCol="1"/>
  <pivotFields count="7">
    <pivotField showAll="0"/>
    <pivotField axis="axisRow" showAll="0" sortType="ascending">
      <items count="10">
        <item x="0"/>
        <item x="7"/>
        <item x="3"/>
        <item x="6"/>
        <item x="4"/>
        <item x="2"/>
        <item x="5"/>
        <item x="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"/>
  </rowFields>
  <rowItems count="10">
    <i>
      <x v="8"/>
    </i>
    <i>
      <x v="1"/>
    </i>
    <i>
      <x v="7"/>
    </i>
    <i>
      <x v="3"/>
    </i>
    <i>
      <x v="5"/>
    </i>
    <i>
      <x v="6"/>
    </i>
    <i>
      <x v="2"/>
    </i>
    <i>
      <x v="4"/>
    </i>
    <i>
      <x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L10" firstHeaderRow="1" firstDataRow="2" firstDataCol="1"/>
  <pivotFields count="7"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axis="axisCol" showAll="0">
      <items count="11">
        <item x="7"/>
        <item x="0"/>
        <item x="5"/>
        <item x="1"/>
        <item x="4"/>
        <item x="2"/>
        <item x="6"/>
        <item x="3"/>
        <item x="8"/>
        <item x="9"/>
        <item t="default"/>
      </items>
    </pivotField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14"/>
  <sheetViews>
    <sheetView workbookViewId="0">
      <selection activeCell="O18" sqref="O18"/>
    </sheetView>
  </sheetViews>
  <sheetFormatPr defaultRowHeight="15"/>
  <cols>
    <col min="1" max="1" width="13.140625" bestFit="1" customWidth="1"/>
    <col min="2" max="2" width="17.28515625" customWidth="1"/>
  </cols>
  <sheetData>
    <row r="3" spans="1:2">
      <c r="A3" s="3" t="s">
        <v>76</v>
      </c>
      <c r="B3" t="s">
        <v>79</v>
      </c>
    </row>
    <row r="4" spans="1:2">
      <c r="A4" s="4" t="s">
        <v>73</v>
      </c>
      <c r="B4" s="5">
        <v>88631</v>
      </c>
    </row>
    <row r="5" spans="1:2">
      <c r="A5" s="4" t="s">
        <v>66</v>
      </c>
      <c r="B5" s="5">
        <v>59972</v>
      </c>
    </row>
    <row r="6" spans="1:2">
      <c r="A6" s="4" t="s">
        <v>71</v>
      </c>
      <c r="B6" s="5">
        <v>19926</v>
      </c>
    </row>
    <row r="7" spans="1:2">
      <c r="A7" s="4" t="s">
        <v>67</v>
      </c>
      <c r="B7" s="5">
        <v>142056</v>
      </c>
    </row>
    <row r="8" spans="1:2">
      <c r="A8" s="4" t="s">
        <v>70</v>
      </c>
      <c r="B8" s="5">
        <v>37115</v>
      </c>
    </row>
    <row r="9" spans="1:2">
      <c r="A9" s="4" t="s">
        <v>68</v>
      </c>
      <c r="B9" s="5">
        <v>74054</v>
      </c>
    </row>
    <row r="10" spans="1:2">
      <c r="A10" s="4" t="s">
        <v>72</v>
      </c>
      <c r="B10" s="5">
        <v>65929</v>
      </c>
    </row>
    <row r="11" spans="1:2">
      <c r="A11" s="4" t="s">
        <v>69</v>
      </c>
      <c r="B11" s="5">
        <v>126065</v>
      </c>
    </row>
    <row r="12" spans="1:2">
      <c r="A12" s="4" t="s">
        <v>74</v>
      </c>
      <c r="B12" s="5">
        <v>45684</v>
      </c>
    </row>
    <row r="13" spans="1:2">
      <c r="A13" s="4" t="s">
        <v>77</v>
      </c>
      <c r="B13" s="5"/>
    </row>
    <row r="14" spans="1:2">
      <c r="A14" s="4" t="s">
        <v>78</v>
      </c>
      <c r="B14" s="5">
        <v>659432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N16" sqref="N16"/>
    </sheetView>
  </sheetViews>
  <sheetFormatPr defaultRowHeight="15"/>
  <cols>
    <col min="1" max="1" width="13.140625" bestFit="1" customWidth="1"/>
    <col min="2" max="2" width="17.28515625" customWidth="1"/>
  </cols>
  <sheetData>
    <row r="3" spans="1:2">
      <c r="A3" s="3" t="s">
        <v>76</v>
      </c>
      <c r="B3" t="s">
        <v>79</v>
      </c>
    </row>
    <row r="4" spans="1:2">
      <c r="A4" s="4" t="s">
        <v>62</v>
      </c>
      <c r="B4" s="5">
        <v>78745</v>
      </c>
    </row>
    <row r="5" spans="1:2">
      <c r="A5" s="4" t="s">
        <v>63</v>
      </c>
      <c r="B5" s="5">
        <v>147227</v>
      </c>
    </row>
    <row r="6" spans="1:2">
      <c r="A6" s="4" t="s">
        <v>65</v>
      </c>
      <c r="B6" s="5">
        <v>179503</v>
      </c>
    </row>
    <row r="7" spans="1:2">
      <c r="A7" s="4" t="s">
        <v>64</v>
      </c>
      <c r="B7" s="5">
        <v>253957</v>
      </c>
    </row>
    <row r="8" spans="1:2">
      <c r="A8" s="4" t="s">
        <v>77</v>
      </c>
      <c r="B8" s="5"/>
    </row>
    <row r="9" spans="1:2">
      <c r="A9" s="4" t="s">
        <v>78</v>
      </c>
      <c r="B9" s="5">
        <v>659432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B14"/>
  <sheetViews>
    <sheetView workbookViewId="0">
      <selection activeCell="B21" sqref="B21"/>
    </sheetView>
  </sheetViews>
  <sheetFormatPr defaultRowHeight="15"/>
  <cols>
    <col min="1" max="1" width="13.140625" bestFit="1" customWidth="1"/>
    <col min="2" max="2" width="17.28515625" customWidth="1"/>
  </cols>
  <sheetData>
    <row r="3" spans="1:2">
      <c r="A3" s="3" t="s">
        <v>76</v>
      </c>
      <c r="B3" t="s">
        <v>79</v>
      </c>
    </row>
    <row r="4" spans="1:2">
      <c r="A4" s="4" t="s">
        <v>73</v>
      </c>
      <c r="B4" s="5">
        <v>88631</v>
      </c>
    </row>
    <row r="5" spans="1:2">
      <c r="A5" s="4" t="s">
        <v>66</v>
      </c>
      <c r="B5" s="5">
        <v>59972</v>
      </c>
    </row>
    <row r="6" spans="1:2">
      <c r="A6" s="4" t="s">
        <v>71</v>
      </c>
      <c r="B6" s="5">
        <v>19926</v>
      </c>
    </row>
    <row r="7" spans="1:2">
      <c r="A7" s="4" t="s">
        <v>67</v>
      </c>
      <c r="B7" s="5">
        <v>142056</v>
      </c>
    </row>
    <row r="8" spans="1:2">
      <c r="A8" s="4" t="s">
        <v>70</v>
      </c>
      <c r="B8" s="5">
        <v>37115</v>
      </c>
    </row>
    <row r="9" spans="1:2">
      <c r="A9" s="4" t="s">
        <v>68</v>
      </c>
      <c r="B9" s="5">
        <v>74054</v>
      </c>
    </row>
    <row r="10" spans="1:2">
      <c r="A10" s="4" t="s">
        <v>72</v>
      </c>
      <c r="B10" s="5">
        <v>65929</v>
      </c>
    </row>
    <row r="11" spans="1:2">
      <c r="A11" s="4" t="s">
        <v>69</v>
      </c>
      <c r="B11" s="5">
        <v>126065</v>
      </c>
    </row>
    <row r="12" spans="1:2">
      <c r="A12" s="4" t="s">
        <v>74</v>
      </c>
      <c r="B12" s="5">
        <v>45684</v>
      </c>
    </row>
    <row r="13" spans="1:2">
      <c r="A13" s="4" t="s">
        <v>77</v>
      </c>
      <c r="B13" s="5"/>
    </row>
    <row r="14" spans="1:2">
      <c r="A14" s="4" t="s">
        <v>78</v>
      </c>
      <c r="B14" s="5">
        <v>659432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B13"/>
  <sheetViews>
    <sheetView workbookViewId="0">
      <selection activeCell="B19" sqref="B19"/>
    </sheetView>
  </sheetViews>
  <sheetFormatPr defaultRowHeight="15"/>
  <cols>
    <col min="1" max="1" width="13.140625" customWidth="1"/>
    <col min="2" max="2" width="17.28515625" customWidth="1"/>
  </cols>
  <sheetData>
    <row r="3" spans="1:2">
      <c r="A3" s="3" t="s">
        <v>76</v>
      </c>
      <c r="B3" t="s">
        <v>79</v>
      </c>
    </row>
    <row r="4" spans="1:2">
      <c r="A4" s="4" t="s">
        <v>77</v>
      </c>
      <c r="B4" s="5"/>
    </row>
    <row r="5" spans="1:2">
      <c r="A5" s="4" t="s">
        <v>61</v>
      </c>
      <c r="B5" s="5">
        <v>12604</v>
      </c>
    </row>
    <row r="6" spans="1:2">
      <c r="A6" s="4" t="s">
        <v>55</v>
      </c>
      <c r="B6" s="5">
        <v>40077</v>
      </c>
    </row>
    <row r="7" spans="1:2">
      <c r="A7" s="4" t="s">
        <v>60</v>
      </c>
      <c r="B7" s="5">
        <v>62225</v>
      </c>
    </row>
    <row r="8" spans="1:2">
      <c r="A8" s="4" t="s">
        <v>56</v>
      </c>
      <c r="B8" s="5">
        <v>80794</v>
      </c>
    </row>
    <row r="9" spans="1:2">
      <c r="A9" s="4" t="s">
        <v>59</v>
      </c>
      <c r="B9" s="5">
        <v>86798</v>
      </c>
    </row>
    <row r="10" spans="1:2">
      <c r="A10" s="4" t="s">
        <v>57</v>
      </c>
      <c r="B10" s="5">
        <v>87750</v>
      </c>
    </row>
    <row r="11" spans="1:2">
      <c r="A11" s="4" t="s">
        <v>58</v>
      </c>
      <c r="B11" s="5">
        <v>136219</v>
      </c>
    </row>
    <row r="12" spans="1:2">
      <c r="A12" s="4" t="s">
        <v>54</v>
      </c>
      <c r="B12" s="5">
        <v>152965</v>
      </c>
    </row>
    <row r="13" spans="1:2">
      <c r="A13" s="4" t="s">
        <v>78</v>
      </c>
      <c r="B13" s="5">
        <v>659432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L10"/>
  <sheetViews>
    <sheetView workbookViewId="0">
      <selection activeCell="L26" sqref="L26"/>
    </sheetView>
  </sheetViews>
  <sheetFormatPr defaultRowHeight="15"/>
  <cols>
    <col min="1" max="1" width="17.28515625" customWidth="1"/>
    <col min="2" max="2" width="16.28515625" bestFit="1" customWidth="1"/>
    <col min="3" max="3" width="8.85546875" customWidth="1"/>
    <col min="4" max="4" width="6.5703125" customWidth="1"/>
    <col min="5" max="5" width="7" customWidth="1"/>
    <col min="6" max="8" width="6" customWidth="1"/>
    <col min="9" max="9" width="10.85546875" bestFit="1" customWidth="1"/>
    <col min="10" max="10" width="8.140625" customWidth="1"/>
    <col min="11" max="11" width="7.28515625" customWidth="1"/>
    <col min="12" max="12" width="11.28515625" bestFit="1" customWidth="1"/>
  </cols>
  <sheetData>
    <row r="3" spans="1:12">
      <c r="A3" s="3" t="s">
        <v>79</v>
      </c>
      <c r="B3" s="3" t="s">
        <v>80</v>
      </c>
    </row>
    <row r="4" spans="1:12">
      <c r="A4" s="3" t="s">
        <v>76</v>
      </c>
      <c r="B4" t="s">
        <v>73</v>
      </c>
      <c r="C4" t="s">
        <v>66</v>
      </c>
      <c r="D4" t="s">
        <v>71</v>
      </c>
      <c r="E4" t="s">
        <v>67</v>
      </c>
      <c r="F4" t="s">
        <v>70</v>
      </c>
      <c r="G4" t="s">
        <v>68</v>
      </c>
      <c r="H4" t="s">
        <v>72</v>
      </c>
      <c r="I4" t="s">
        <v>69</v>
      </c>
      <c r="J4" t="s">
        <v>74</v>
      </c>
      <c r="K4" t="s">
        <v>77</v>
      </c>
      <c r="L4" t="s">
        <v>78</v>
      </c>
    </row>
    <row r="5" spans="1:12">
      <c r="A5" s="4" t="s">
        <v>62</v>
      </c>
      <c r="B5" s="5"/>
      <c r="C5" s="5">
        <v>37200</v>
      </c>
      <c r="D5" s="5">
        <v>9585</v>
      </c>
      <c r="E5" s="5">
        <v>8762</v>
      </c>
      <c r="F5" s="5">
        <v>4764</v>
      </c>
      <c r="G5" s="5">
        <v>18434</v>
      </c>
      <c r="H5" s="5"/>
      <c r="I5" s="5"/>
      <c r="J5" s="5"/>
      <c r="K5" s="5"/>
      <c r="L5" s="5">
        <v>78745</v>
      </c>
    </row>
    <row r="6" spans="1:12">
      <c r="A6" s="4" t="s">
        <v>63</v>
      </c>
      <c r="B6" s="5">
        <v>2856</v>
      </c>
      <c r="C6" s="5">
        <v>9904</v>
      </c>
      <c r="D6" s="5"/>
      <c r="E6" s="5">
        <v>76985</v>
      </c>
      <c r="F6" s="5">
        <v>4836</v>
      </c>
      <c r="G6" s="5"/>
      <c r="H6" s="5">
        <v>2516</v>
      </c>
      <c r="I6" s="5">
        <v>23553</v>
      </c>
      <c r="J6" s="5">
        <v>26577</v>
      </c>
      <c r="K6" s="5"/>
      <c r="L6" s="5">
        <v>147227</v>
      </c>
    </row>
    <row r="7" spans="1:12">
      <c r="A7" s="4" t="s">
        <v>65</v>
      </c>
      <c r="B7" s="5">
        <v>55775</v>
      </c>
      <c r="C7" s="5">
        <v>12868</v>
      </c>
      <c r="D7" s="5"/>
      <c r="E7" s="5">
        <v>8883</v>
      </c>
      <c r="F7" s="5">
        <v>26153</v>
      </c>
      <c r="G7" s="5"/>
      <c r="H7" s="5">
        <v>36757</v>
      </c>
      <c r="I7" s="5">
        <v>19960</v>
      </c>
      <c r="J7" s="5">
        <v>19107</v>
      </c>
      <c r="K7" s="5"/>
      <c r="L7" s="5">
        <v>179503</v>
      </c>
    </row>
    <row r="8" spans="1:12">
      <c r="A8" s="4" t="s">
        <v>64</v>
      </c>
      <c r="B8" s="5">
        <v>30000</v>
      </c>
      <c r="C8" s="5"/>
      <c r="D8" s="5">
        <v>10341</v>
      </c>
      <c r="E8" s="5">
        <v>47426</v>
      </c>
      <c r="F8" s="5">
        <v>1362</v>
      </c>
      <c r="G8" s="5">
        <v>55620</v>
      </c>
      <c r="H8" s="5">
        <v>26656</v>
      </c>
      <c r="I8" s="5">
        <v>82552</v>
      </c>
      <c r="J8" s="5"/>
      <c r="K8" s="5"/>
      <c r="L8" s="5">
        <v>253957</v>
      </c>
    </row>
    <row r="9" spans="1:12">
      <c r="A9" s="4" t="s">
        <v>77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4" t="s">
        <v>78</v>
      </c>
      <c r="B10" s="5">
        <v>88631</v>
      </c>
      <c r="C10" s="5">
        <v>59972</v>
      </c>
      <c r="D10" s="5">
        <v>19926</v>
      </c>
      <c r="E10" s="5">
        <v>142056</v>
      </c>
      <c r="F10" s="5">
        <v>37115</v>
      </c>
      <c r="G10" s="5">
        <v>74054</v>
      </c>
      <c r="H10" s="5">
        <v>65929</v>
      </c>
      <c r="I10" s="5">
        <v>126065</v>
      </c>
      <c r="J10" s="5">
        <v>45684</v>
      </c>
      <c r="K10" s="5"/>
      <c r="L10" s="5">
        <v>659432</v>
      </c>
    </row>
  </sheetData>
  <conditionalFormatting sqref="A1:XFD104857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1"/>
  <sheetViews>
    <sheetView tabSelected="1" topLeftCell="A2" workbookViewId="0">
      <selection sqref="A1:XFD1048576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75</v>
      </c>
    </row>
    <row r="2" spans="1:7">
      <c r="A2" t="s">
        <v>6</v>
      </c>
      <c r="B2" t="s">
        <v>54</v>
      </c>
      <c r="C2">
        <v>20</v>
      </c>
      <c r="D2" t="s">
        <v>62</v>
      </c>
      <c r="E2" t="s">
        <v>66</v>
      </c>
      <c r="F2">
        <v>1860</v>
      </c>
      <c r="G2">
        <f>F:F*C:C</f>
        <v>37200</v>
      </c>
    </row>
    <row r="3" spans="1:7">
      <c r="A3" t="s">
        <v>7</v>
      </c>
      <c r="B3" t="s">
        <v>55</v>
      </c>
      <c r="C3">
        <v>18</v>
      </c>
      <c r="D3" t="s">
        <v>63</v>
      </c>
      <c r="E3" t="s">
        <v>67</v>
      </c>
      <c r="F3">
        <v>1890</v>
      </c>
      <c r="G3">
        <f t="shared" ref="G3:G51" si="0">F:F*C:C</f>
        <v>34020</v>
      </c>
    </row>
    <row r="4" spans="1:7">
      <c r="A4" t="s">
        <v>8</v>
      </c>
      <c r="B4" t="s">
        <v>56</v>
      </c>
      <c r="C4">
        <v>18</v>
      </c>
      <c r="D4" t="s">
        <v>64</v>
      </c>
      <c r="E4" t="s">
        <v>68</v>
      </c>
      <c r="F4">
        <v>293</v>
      </c>
      <c r="G4">
        <f t="shared" si="0"/>
        <v>5274</v>
      </c>
    </row>
    <row r="5" spans="1:7">
      <c r="A5" t="s">
        <v>9</v>
      </c>
      <c r="B5" t="s">
        <v>57</v>
      </c>
      <c r="C5">
        <v>17</v>
      </c>
      <c r="D5" t="s">
        <v>63</v>
      </c>
      <c r="E5" t="s">
        <v>69</v>
      </c>
      <c r="F5">
        <v>260</v>
      </c>
      <c r="G5">
        <f t="shared" si="0"/>
        <v>4420</v>
      </c>
    </row>
    <row r="6" spans="1:7">
      <c r="A6" t="s">
        <v>10</v>
      </c>
      <c r="B6" t="s">
        <v>56</v>
      </c>
      <c r="C6">
        <v>7</v>
      </c>
      <c r="D6" t="s">
        <v>65</v>
      </c>
      <c r="E6" t="s">
        <v>66</v>
      </c>
      <c r="F6">
        <v>1702</v>
      </c>
      <c r="G6">
        <f t="shared" si="0"/>
        <v>11914</v>
      </c>
    </row>
    <row r="7" spans="1:7">
      <c r="A7" t="s">
        <v>11</v>
      </c>
      <c r="B7" t="s">
        <v>56</v>
      </c>
      <c r="C7">
        <v>6</v>
      </c>
      <c r="D7" t="s">
        <v>64</v>
      </c>
      <c r="E7" t="s">
        <v>69</v>
      </c>
      <c r="F7">
        <v>1314</v>
      </c>
      <c r="G7">
        <f t="shared" si="0"/>
        <v>7884</v>
      </c>
    </row>
    <row r="8" spans="1:7">
      <c r="A8" t="s">
        <v>12</v>
      </c>
      <c r="B8" t="s">
        <v>57</v>
      </c>
      <c r="C8">
        <v>16</v>
      </c>
      <c r="D8" t="s">
        <v>64</v>
      </c>
      <c r="E8" t="s">
        <v>68</v>
      </c>
      <c r="F8">
        <v>1455</v>
      </c>
      <c r="G8">
        <f t="shared" si="0"/>
        <v>23280</v>
      </c>
    </row>
    <row r="9" spans="1:7">
      <c r="A9" t="s">
        <v>7</v>
      </c>
      <c r="B9" t="s">
        <v>58</v>
      </c>
      <c r="C9">
        <v>11</v>
      </c>
      <c r="D9" t="s">
        <v>64</v>
      </c>
      <c r="E9" t="s">
        <v>67</v>
      </c>
      <c r="F9">
        <v>842</v>
      </c>
      <c r="G9">
        <f t="shared" si="0"/>
        <v>9262</v>
      </c>
    </row>
    <row r="10" spans="1:7">
      <c r="A10" t="s">
        <v>13</v>
      </c>
      <c r="B10" t="s">
        <v>54</v>
      </c>
      <c r="C10">
        <v>10</v>
      </c>
      <c r="D10" t="s">
        <v>65</v>
      </c>
      <c r="E10" t="s">
        <v>69</v>
      </c>
      <c r="F10">
        <v>1996</v>
      </c>
      <c r="G10">
        <f t="shared" si="0"/>
        <v>19960</v>
      </c>
    </row>
    <row r="11" spans="1:7">
      <c r="A11" t="s">
        <v>12</v>
      </c>
      <c r="B11" t="s">
        <v>57</v>
      </c>
      <c r="C11">
        <v>20</v>
      </c>
      <c r="D11" t="s">
        <v>64</v>
      </c>
      <c r="E11" t="s">
        <v>68</v>
      </c>
      <c r="F11">
        <v>1187</v>
      </c>
      <c r="G11">
        <f t="shared" si="0"/>
        <v>23740</v>
      </c>
    </row>
    <row r="12" spans="1:7">
      <c r="A12" t="s">
        <v>14</v>
      </c>
      <c r="B12" t="s">
        <v>57</v>
      </c>
      <c r="C12">
        <v>19</v>
      </c>
      <c r="D12" t="s">
        <v>65</v>
      </c>
      <c r="E12" t="s">
        <v>70</v>
      </c>
      <c r="F12">
        <v>503</v>
      </c>
      <c r="G12">
        <f t="shared" si="0"/>
        <v>9557</v>
      </c>
    </row>
    <row r="13" spans="1:7">
      <c r="A13" t="s">
        <v>15</v>
      </c>
      <c r="B13" t="s">
        <v>57</v>
      </c>
      <c r="C13">
        <v>9</v>
      </c>
      <c r="D13" t="s">
        <v>62</v>
      </c>
      <c r="E13" t="s">
        <v>71</v>
      </c>
      <c r="F13">
        <v>1065</v>
      </c>
      <c r="G13">
        <f t="shared" si="0"/>
        <v>9585</v>
      </c>
    </row>
    <row r="14" spans="1:7">
      <c r="A14" t="s">
        <v>16</v>
      </c>
      <c r="B14" t="s">
        <v>54</v>
      </c>
      <c r="C14">
        <v>4</v>
      </c>
      <c r="D14" t="s">
        <v>63</v>
      </c>
      <c r="E14" t="s">
        <v>70</v>
      </c>
      <c r="F14">
        <v>1209</v>
      </c>
      <c r="G14">
        <f t="shared" si="0"/>
        <v>4836</v>
      </c>
    </row>
    <row r="15" spans="1:7">
      <c r="A15" t="s">
        <v>17</v>
      </c>
      <c r="B15" t="s">
        <v>59</v>
      </c>
      <c r="C15">
        <v>13</v>
      </c>
      <c r="D15" t="s">
        <v>65</v>
      </c>
      <c r="E15" t="s">
        <v>72</v>
      </c>
      <c r="F15">
        <v>959</v>
      </c>
      <c r="G15">
        <f t="shared" si="0"/>
        <v>12467</v>
      </c>
    </row>
    <row r="16" spans="1:7">
      <c r="A16" t="s">
        <v>18</v>
      </c>
      <c r="B16" t="s">
        <v>54</v>
      </c>
      <c r="C16">
        <v>1</v>
      </c>
      <c r="D16" t="s">
        <v>64</v>
      </c>
      <c r="E16" t="s">
        <v>69</v>
      </c>
      <c r="F16">
        <v>481</v>
      </c>
      <c r="G16">
        <f t="shared" si="0"/>
        <v>481</v>
      </c>
    </row>
    <row r="17" spans="1:7">
      <c r="A17" t="s">
        <v>19</v>
      </c>
      <c r="B17" t="s">
        <v>56</v>
      </c>
      <c r="C17">
        <v>17</v>
      </c>
      <c r="D17" t="s">
        <v>64</v>
      </c>
      <c r="E17" t="s">
        <v>67</v>
      </c>
      <c r="F17">
        <v>630</v>
      </c>
      <c r="G17">
        <f t="shared" si="0"/>
        <v>10710</v>
      </c>
    </row>
    <row r="18" spans="1:7">
      <c r="A18" t="s">
        <v>20</v>
      </c>
      <c r="B18" t="s">
        <v>58</v>
      </c>
      <c r="C18">
        <v>2</v>
      </c>
      <c r="D18" t="s">
        <v>63</v>
      </c>
      <c r="E18" t="s">
        <v>73</v>
      </c>
      <c r="F18">
        <v>1428</v>
      </c>
      <c r="G18">
        <f t="shared" si="0"/>
        <v>2856</v>
      </c>
    </row>
    <row r="19" spans="1:7">
      <c r="A19" t="s">
        <v>21</v>
      </c>
      <c r="B19" t="s">
        <v>58</v>
      </c>
      <c r="C19">
        <v>14</v>
      </c>
      <c r="D19" t="s">
        <v>65</v>
      </c>
      <c r="E19" t="s">
        <v>73</v>
      </c>
      <c r="F19">
        <v>1978</v>
      </c>
      <c r="G19">
        <f t="shared" si="0"/>
        <v>27692</v>
      </c>
    </row>
    <row r="20" spans="1:7">
      <c r="A20" t="s">
        <v>22</v>
      </c>
      <c r="B20" t="s">
        <v>56</v>
      </c>
      <c r="C20">
        <v>12</v>
      </c>
      <c r="D20" t="s">
        <v>65</v>
      </c>
      <c r="E20" t="s">
        <v>73</v>
      </c>
      <c r="F20">
        <v>1883</v>
      </c>
      <c r="G20">
        <f t="shared" si="0"/>
        <v>22596</v>
      </c>
    </row>
    <row r="21" spans="1:7">
      <c r="A21" t="s">
        <v>23</v>
      </c>
      <c r="B21" t="s">
        <v>60</v>
      </c>
      <c r="C21">
        <v>3</v>
      </c>
      <c r="D21" t="s">
        <v>65</v>
      </c>
      <c r="E21" t="s">
        <v>73</v>
      </c>
      <c r="F21">
        <v>1829</v>
      </c>
      <c r="G21">
        <f t="shared" si="0"/>
        <v>5487</v>
      </c>
    </row>
    <row r="22" spans="1:7">
      <c r="A22" t="s">
        <v>24</v>
      </c>
      <c r="B22" t="s">
        <v>60</v>
      </c>
      <c r="C22">
        <v>3</v>
      </c>
      <c r="D22" t="s">
        <v>65</v>
      </c>
      <c r="E22" t="s">
        <v>66</v>
      </c>
      <c r="F22">
        <v>318</v>
      </c>
      <c r="G22">
        <f t="shared" si="0"/>
        <v>954</v>
      </c>
    </row>
    <row r="23" spans="1:7">
      <c r="A23" t="s">
        <v>25</v>
      </c>
      <c r="B23" t="s">
        <v>59</v>
      </c>
      <c r="C23">
        <v>11</v>
      </c>
      <c r="D23" t="s">
        <v>65</v>
      </c>
      <c r="E23" t="s">
        <v>67</v>
      </c>
      <c r="F23">
        <v>505</v>
      </c>
      <c r="G23">
        <f t="shared" si="0"/>
        <v>5555</v>
      </c>
    </row>
    <row r="24" spans="1:7">
      <c r="A24" t="s">
        <v>26</v>
      </c>
      <c r="B24" t="s">
        <v>60</v>
      </c>
      <c r="C24">
        <v>19</v>
      </c>
      <c r="D24" t="s">
        <v>63</v>
      </c>
      <c r="E24" t="s">
        <v>69</v>
      </c>
      <c r="F24">
        <v>1007</v>
      </c>
      <c r="G24">
        <f t="shared" si="0"/>
        <v>19133</v>
      </c>
    </row>
    <row r="25" spans="1:7">
      <c r="A25" t="s">
        <v>27</v>
      </c>
      <c r="B25" t="s">
        <v>58</v>
      </c>
      <c r="C25">
        <v>8</v>
      </c>
      <c r="D25" t="s">
        <v>62</v>
      </c>
      <c r="E25" t="s">
        <v>68</v>
      </c>
      <c r="F25">
        <v>376</v>
      </c>
      <c r="G25">
        <f t="shared" si="0"/>
        <v>3008</v>
      </c>
    </row>
    <row r="26" spans="1:7">
      <c r="A26" t="s">
        <v>28</v>
      </c>
      <c r="B26" t="s">
        <v>58</v>
      </c>
      <c r="C26">
        <v>14</v>
      </c>
      <c r="D26" t="s">
        <v>63</v>
      </c>
      <c r="E26" t="s">
        <v>74</v>
      </c>
      <c r="F26">
        <v>1454</v>
      </c>
      <c r="G26">
        <f t="shared" si="0"/>
        <v>20356</v>
      </c>
    </row>
    <row r="27" spans="1:7">
      <c r="A27" t="s">
        <v>29</v>
      </c>
      <c r="B27" t="s">
        <v>54</v>
      </c>
      <c r="C27">
        <v>2</v>
      </c>
      <c r="D27" t="s">
        <v>64</v>
      </c>
      <c r="E27" t="s">
        <v>68</v>
      </c>
      <c r="F27">
        <v>1663</v>
      </c>
      <c r="G27">
        <f t="shared" si="0"/>
        <v>3326</v>
      </c>
    </row>
    <row r="28" spans="1:7">
      <c r="A28" t="s">
        <v>30</v>
      </c>
      <c r="B28" t="s">
        <v>61</v>
      </c>
      <c r="C28">
        <v>2</v>
      </c>
      <c r="D28" t="s">
        <v>63</v>
      </c>
      <c r="E28" t="s">
        <v>67</v>
      </c>
      <c r="F28">
        <v>1744</v>
      </c>
      <c r="G28">
        <f t="shared" si="0"/>
        <v>3488</v>
      </c>
    </row>
    <row r="29" spans="1:7">
      <c r="A29" t="s">
        <v>31</v>
      </c>
      <c r="B29" t="s">
        <v>58</v>
      </c>
      <c r="C29">
        <v>15</v>
      </c>
      <c r="D29" t="s">
        <v>64</v>
      </c>
      <c r="E29" t="s">
        <v>69</v>
      </c>
      <c r="F29">
        <v>1986</v>
      </c>
      <c r="G29">
        <f t="shared" si="0"/>
        <v>29790</v>
      </c>
    </row>
    <row r="30" spans="1:7">
      <c r="A30" t="s">
        <v>32</v>
      </c>
      <c r="B30" t="s">
        <v>59</v>
      </c>
      <c r="C30">
        <v>8</v>
      </c>
      <c r="D30" t="s">
        <v>65</v>
      </c>
      <c r="E30" t="s">
        <v>67</v>
      </c>
      <c r="F30">
        <v>416</v>
      </c>
      <c r="G30">
        <f t="shared" si="0"/>
        <v>3328</v>
      </c>
    </row>
    <row r="31" spans="1:7">
      <c r="A31" t="s">
        <v>33</v>
      </c>
      <c r="B31" t="s">
        <v>61</v>
      </c>
      <c r="C31">
        <v>6</v>
      </c>
      <c r="D31" t="s">
        <v>62</v>
      </c>
      <c r="E31" t="s">
        <v>70</v>
      </c>
      <c r="F31">
        <v>511</v>
      </c>
      <c r="G31">
        <f t="shared" si="0"/>
        <v>3066</v>
      </c>
    </row>
    <row r="32" spans="1:7">
      <c r="A32" t="s">
        <v>34</v>
      </c>
      <c r="B32" t="s">
        <v>60</v>
      </c>
      <c r="C32">
        <v>19</v>
      </c>
      <c r="D32" t="s">
        <v>63</v>
      </c>
      <c r="E32" t="s">
        <v>67</v>
      </c>
      <c r="F32">
        <v>1831</v>
      </c>
      <c r="G32">
        <f t="shared" si="0"/>
        <v>34789</v>
      </c>
    </row>
    <row r="33" spans="1:7">
      <c r="A33" t="s">
        <v>35</v>
      </c>
      <c r="B33" t="s">
        <v>59</v>
      </c>
      <c r="C33">
        <v>11</v>
      </c>
      <c r="D33" t="s">
        <v>65</v>
      </c>
      <c r="E33" t="s">
        <v>74</v>
      </c>
      <c r="F33">
        <v>1737</v>
      </c>
      <c r="G33">
        <f t="shared" si="0"/>
        <v>19107</v>
      </c>
    </row>
    <row r="34" spans="1:7">
      <c r="A34" t="s">
        <v>36</v>
      </c>
      <c r="B34" t="s">
        <v>54</v>
      </c>
      <c r="C34">
        <v>13</v>
      </c>
      <c r="D34" t="s">
        <v>62</v>
      </c>
      <c r="E34" t="s">
        <v>67</v>
      </c>
      <c r="F34">
        <v>674</v>
      </c>
      <c r="G34">
        <f t="shared" si="0"/>
        <v>8762</v>
      </c>
    </row>
    <row r="35" spans="1:7">
      <c r="A35" t="s">
        <v>37</v>
      </c>
      <c r="B35" t="s">
        <v>55</v>
      </c>
      <c r="C35">
        <v>3</v>
      </c>
      <c r="D35" t="s">
        <v>62</v>
      </c>
      <c r="E35" t="s">
        <v>70</v>
      </c>
      <c r="F35">
        <v>566</v>
      </c>
      <c r="G35">
        <f t="shared" si="0"/>
        <v>1698</v>
      </c>
    </row>
    <row r="36" spans="1:7">
      <c r="A36" t="s">
        <v>38</v>
      </c>
      <c r="B36" t="s">
        <v>61</v>
      </c>
      <c r="C36">
        <v>2</v>
      </c>
      <c r="D36" t="s">
        <v>64</v>
      </c>
      <c r="E36" t="s">
        <v>70</v>
      </c>
      <c r="F36">
        <v>681</v>
      </c>
      <c r="G36">
        <f t="shared" si="0"/>
        <v>1362</v>
      </c>
    </row>
    <row r="37" spans="1:7">
      <c r="A37" t="s">
        <v>39</v>
      </c>
      <c r="B37" t="s">
        <v>57</v>
      </c>
      <c r="C37">
        <v>9</v>
      </c>
      <c r="D37" t="s">
        <v>64</v>
      </c>
      <c r="E37" t="s">
        <v>69</v>
      </c>
      <c r="F37">
        <v>1628</v>
      </c>
      <c r="G37">
        <f t="shared" si="0"/>
        <v>14652</v>
      </c>
    </row>
    <row r="38" spans="1:7">
      <c r="A38" t="s">
        <v>40</v>
      </c>
      <c r="B38" t="s">
        <v>58</v>
      </c>
      <c r="C38">
        <v>2</v>
      </c>
      <c r="D38" t="s">
        <v>63</v>
      </c>
      <c r="E38" t="s">
        <v>66</v>
      </c>
      <c r="F38">
        <v>1457</v>
      </c>
      <c r="G38">
        <f t="shared" si="0"/>
        <v>2914</v>
      </c>
    </row>
    <row r="39" spans="1:7">
      <c r="A39" t="s">
        <v>41</v>
      </c>
      <c r="B39" t="s">
        <v>58</v>
      </c>
      <c r="C39">
        <v>15</v>
      </c>
      <c r="D39" t="s">
        <v>64</v>
      </c>
      <c r="E39" t="s">
        <v>73</v>
      </c>
      <c r="F39">
        <v>2000</v>
      </c>
      <c r="G39">
        <f t="shared" si="0"/>
        <v>30000</v>
      </c>
    </row>
    <row r="40" spans="1:7">
      <c r="A40" t="s">
        <v>42</v>
      </c>
      <c r="B40" t="s">
        <v>59</v>
      </c>
      <c r="C40">
        <v>12</v>
      </c>
      <c r="D40" t="s">
        <v>65</v>
      </c>
      <c r="E40" t="s">
        <v>70</v>
      </c>
      <c r="F40">
        <v>1383</v>
      </c>
      <c r="G40">
        <f t="shared" si="0"/>
        <v>16596</v>
      </c>
    </row>
    <row r="41" spans="1:7">
      <c r="A41" t="s">
        <v>43</v>
      </c>
      <c r="B41" t="s">
        <v>56</v>
      </c>
      <c r="C41">
        <v>6</v>
      </c>
      <c r="D41" t="s">
        <v>63</v>
      </c>
      <c r="E41" t="s">
        <v>66</v>
      </c>
      <c r="F41">
        <v>1165</v>
      </c>
      <c r="G41">
        <f t="shared" si="0"/>
        <v>6990</v>
      </c>
    </row>
    <row r="42" spans="1:7">
      <c r="A42" t="s">
        <v>44</v>
      </c>
      <c r="B42" t="s">
        <v>61</v>
      </c>
      <c r="C42">
        <v>16</v>
      </c>
      <c r="D42" t="s">
        <v>63</v>
      </c>
      <c r="E42" t="s">
        <v>67</v>
      </c>
      <c r="F42">
        <v>293</v>
      </c>
      <c r="G42">
        <f t="shared" si="0"/>
        <v>4688</v>
      </c>
    </row>
    <row r="43" spans="1:7">
      <c r="A43" t="s">
        <v>45</v>
      </c>
      <c r="B43" t="s">
        <v>58</v>
      </c>
      <c r="C43">
        <v>9</v>
      </c>
      <c r="D43" t="s">
        <v>64</v>
      </c>
      <c r="E43" t="s">
        <v>71</v>
      </c>
      <c r="F43">
        <v>1149</v>
      </c>
      <c r="G43">
        <f t="shared" si="0"/>
        <v>10341</v>
      </c>
    </row>
    <row r="44" spans="1:7">
      <c r="A44" t="s">
        <v>46</v>
      </c>
      <c r="B44" t="s">
        <v>60</v>
      </c>
      <c r="C44">
        <v>2</v>
      </c>
      <c r="D44" t="s">
        <v>63</v>
      </c>
      <c r="E44" t="s">
        <v>74</v>
      </c>
      <c r="F44">
        <v>931</v>
      </c>
      <c r="G44">
        <f t="shared" si="0"/>
        <v>1862</v>
      </c>
    </row>
    <row r="45" spans="1:7">
      <c r="A45" t="s">
        <v>47</v>
      </c>
      <c r="B45" t="s">
        <v>54</v>
      </c>
      <c r="C45">
        <v>14</v>
      </c>
      <c r="D45" t="s">
        <v>65</v>
      </c>
      <c r="E45" t="s">
        <v>72</v>
      </c>
      <c r="F45">
        <v>1735</v>
      </c>
      <c r="G45">
        <f t="shared" si="0"/>
        <v>24290</v>
      </c>
    </row>
    <row r="46" spans="1:7">
      <c r="A46" t="s">
        <v>48</v>
      </c>
      <c r="B46" t="s">
        <v>54</v>
      </c>
      <c r="C46">
        <v>14</v>
      </c>
      <c r="D46" t="s">
        <v>64</v>
      </c>
      <c r="E46" t="s">
        <v>67</v>
      </c>
      <c r="F46">
        <v>1961</v>
      </c>
      <c r="G46">
        <f t="shared" si="0"/>
        <v>27454</v>
      </c>
    </row>
    <row r="47" spans="1:7">
      <c r="A47" t="s">
        <v>49</v>
      </c>
      <c r="B47" t="s">
        <v>55</v>
      </c>
      <c r="C47">
        <v>3</v>
      </c>
      <c r="D47" t="s">
        <v>63</v>
      </c>
      <c r="E47" t="s">
        <v>74</v>
      </c>
      <c r="F47">
        <v>1453</v>
      </c>
      <c r="G47">
        <f t="shared" si="0"/>
        <v>4359</v>
      </c>
    </row>
    <row r="48" spans="1:7">
      <c r="A48" t="s">
        <v>50</v>
      </c>
      <c r="B48" t="s">
        <v>57</v>
      </c>
      <c r="C48">
        <v>2</v>
      </c>
      <c r="D48" t="s">
        <v>63</v>
      </c>
      <c r="E48" t="s">
        <v>72</v>
      </c>
      <c r="F48">
        <v>1258</v>
      </c>
      <c r="G48">
        <f t="shared" si="0"/>
        <v>2516</v>
      </c>
    </row>
    <row r="49" spans="1:7">
      <c r="A49" t="s">
        <v>51</v>
      </c>
      <c r="B49" t="s">
        <v>56</v>
      </c>
      <c r="C49">
        <v>18</v>
      </c>
      <c r="D49" t="s">
        <v>62</v>
      </c>
      <c r="E49" t="s">
        <v>68</v>
      </c>
      <c r="F49">
        <v>857</v>
      </c>
      <c r="G49">
        <f t="shared" si="0"/>
        <v>15426</v>
      </c>
    </row>
    <row r="50" spans="1:7">
      <c r="A50" t="s">
        <v>52</v>
      </c>
      <c r="B50" t="s">
        <v>54</v>
      </c>
      <c r="C50">
        <v>14</v>
      </c>
      <c r="D50" t="s">
        <v>64</v>
      </c>
      <c r="E50" t="s">
        <v>72</v>
      </c>
      <c r="F50">
        <v>1904</v>
      </c>
      <c r="G50">
        <f t="shared" si="0"/>
        <v>26656</v>
      </c>
    </row>
    <row r="51" spans="1:7">
      <c r="A51" t="s">
        <v>53</v>
      </c>
      <c r="B51" t="s">
        <v>59</v>
      </c>
      <c r="C51">
        <v>15</v>
      </c>
      <c r="D51" t="s">
        <v>64</v>
      </c>
      <c r="E51" t="s">
        <v>69</v>
      </c>
      <c r="F51">
        <v>1983</v>
      </c>
      <c r="G51">
        <f t="shared" si="0"/>
        <v>29745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Trend</vt:lpstr>
      <vt:lpstr>Sales by Region</vt:lpstr>
      <vt:lpstr>Best and Worst Months for Sales</vt:lpstr>
      <vt:lpstr>Top Products by Sale</vt:lpstr>
      <vt:lpstr>Region-Wise Monthly Sales</vt:lpstr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hp1234</cp:lastModifiedBy>
  <dcterms:created xsi:type="dcterms:W3CDTF">2025-11-10T16:08:41Z</dcterms:created>
  <dcterms:modified xsi:type="dcterms:W3CDTF">2025-11-11T13:25:07Z</dcterms:modified>
</cp:coreProperties>
</file>